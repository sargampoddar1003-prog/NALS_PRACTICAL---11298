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8F3B6EFA721382/Desktop/"/>
    </mc:Choice>
  </mc:AlternateContent>
  <xr:revisionPtr revIDLastSave="0" documentId="8_{BB510BBC-DF50-4D4A-92FE-FB99E141ED89}" xr6:coauthVersionLast="47" xr6:coauthVersionMax="47" xr10:uidLastSave="{00000000-0000-0000-0000-000000000000}"/>
  <bookViews>
    <workbookView xWindow="-108" yWindow="-108" windowWidth="23256" windowHeight="12456" xr2:uid="{E613529B-4FD2-4B23-957A-8DBB80B6484E}"/>
  </bookViews>
  <sheets>
    <sheet name="EXPENSES" sheetId="1" r:id="rId1"/>
    <sheet name="BUDGET" sheetId="2" r:id="rId2"/>
    <sheet name="CHARTS" sheetId="3" r:id="rId3"/>
  </sheets>
  <definedNames>
    <definedName name="ExternalData_1" localSheetId="1" hidden="1">BUDGET!$A$1:$J$6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C2730-F842-4336-8FE3-494D8D71A026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<sst xmlns="http://schemas.openxmlformats.org/spreadsheetml/2006/main" count="111" uniqueCount="62">
  <si>
    <t>EXPENSES</t>
  </si>
  <si>
    <t>DATE</t>
  </si>
  <si>
    <t>CATEGORY</t>
  </si>
  <si>
    <t>EXPENSES DETAILS</t>
  </si>
  <si>
    <t>AMOUNT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</si>
  <si>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</si>
  <si>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</si>
  <si>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</si>
  <si>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</si>
  <si>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</si>
  <si>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</si>
  <si>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</si>
  <si>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</si>
  <si>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</si>
  <si>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</si>
  <si>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</si>
  <si>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</si>
  <si>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</si>
  <si>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</si>
  <si>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</si>
  <si>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</si>
  <si>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</si>
  <si>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</si>
  <si>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</si>
  <si>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</si>
  <si>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</si>
  <si>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</si>
  <si>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</si>
  <si>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</si>
  <si>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Accesssories</t>
  </si>
  <si>
    <t>Library Fees</t>
  </si>
  <si>
    <t>Medicine</t>
  </si>
  <si>
    <t>Cab</t>
  </si>
  <si>
    <t>TO CALCULATE TOTAL SPENDING ON "FOOD":</t>
  </si>
  <si>
    <t>.</t>
  </si>
  <si>
    <t>TO CALCULATE TOTAL SPENDING ON "TRAVEL":</t>
  </si>
  <si>
    <t>TO CALCULATE TOTAL SPENDING ON "SHOPPING":</t>
  </si>
  <si>
    <t>TO CALCULATE TOTAL SPENDING ON "FEES":</t>
  </si>
  <si>
    <t>TO CALCULATE TOTAL SPENDING ON "OTHERS":</t>
  </si>
  <si>
    <t>BUDGET AMOUNT</t>
  </si>
  <si>
    <t>ACTUAL AMOUNT</t>
  </si>
  <si>
    <t>DIFFERENCE</t>
  </si>
  <si>
    <t>CATEGORY 2</t>
  </si>
  <si>
    <t>BUDGET AMOUNT 3</t>
  </si>
  <si>
    <t>ACTUAL AMOUNT 4</t>
  </si>
  <si>
    <t>DIFFERENCE 5</t>
  </si>
  <si>
    <t>CATEGORY 6</t>
  </si>
  <si>
    <t>BUDGET AMOUNT 7</t>
  </si>
  <si>
    <t>Food  5000 1280 3720 Food 2053.333333 1413.333333 773.33333333 Food</t>
  </si>
  <si>
    <t xml:space="preserve">Travel 6000 9700 -3700 Travel -5700 -10550 -15400 Travel </t>
  </si>
  <si>
    <t>Fees 7000 5800 1200 Fees 1133.333333 -4033.333333 -6933.333333 Fees</t>
  </si>
  <si>
    <t>Shopping 8000 9300 -1300 Shopping -3966.666667 -8616.66667 -13266.66667 Shopping</t>
  </si>
  <si>
    <t>Other 3000</t>
  </si>
  <si>
    <t>48981102 Other 102 -847 -1796 Other</t>
  </si>
  <si>
    <t>Food Lunch 250 Cash</t>
  </si>
  <si>
    <t>Travel Bus Pass 1200 UPI</t>
  </si>
  <si>
    <t>Shopping Clothes 3200 Card</t>
  </si>
  <si>
    <t>Fees Exam Fees 1500 UPI</t>
  </si>
  <si>
    <t>Food Dinner 400 Cash</t>
  </si>
  <si>
    <t>Travel Taxi 2200 Card</t>
  </si>
  <si>
    <t>Shopping Shoes 2800 UPI</t>
  </si>
  <si>
    <t>Data Category Detail Amount 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</si>
</sst>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BUDGET!$J$1</c:f>
              <c:strCache>
                <c:ptCount val="1"/>
                <c:pt idx="0">
                  <c:v>BUDGET AMOUNT 7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BUDGET!$J$2:$J$6</c:f>
              <c:numCache>
                <c:formatCode>General</c:formatCode>
                <c:ptCount val="5"/>
                <c:pt idx="0">
                  <c:v>133.33333332999999</c:v>
                </c:pt>
                <c:pt idx="1">
                  <c:v>-20250</c:v>
                </c:pt>
                <c:pt idx="2">
                  <c:v>-9833.3333330000005</c:v>
                </c:pt>
                <c:pt idx="3">
                  <c:v>-17916.666669999999</c:v>
                </c:pt>
                <c:pt idx="4">
                  <c:v>-2745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4-4068-9FDA-2A08F368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3810</xdr:rowOff>
    </xdr:from>
    <xdr:to>
      <xdr:col>8</xdr:col>
      <xdr:colOff>38100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25FF80-EAC2-EB14-353C-0BDD4A71C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266700</xdr:colOff>
      <xdr:row>22</xdr:row>
      <xdr:rowOff>30480</xdr:rowOff>
    </xdr:from>
    <xdr:to>
      <xdr:col>2</xdr:col>
      <xdr:colOff>434340</xdr:colOff>
      <xdr:row>22</xdr:row>
      <xdr:rowOff>175260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3D553A93-245D-AFE4-34AD-22C9D88A5C7C}"/>
            </a:ext>
          </a:extLst>
        </xdr:cNvPr>
        <xdr:cNvSpPr/>
      </xdr:nvSpPr>
      <xdr:spPr>
        <a:xfrm>
          <a:off x="1485900" y="4053840"/>
          <a:ext cx="167640" cy="144780"/>
        </a:xfrm>
        <a:prstGeom prst="diamond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2</xdr:col>
      <xdr:colOff>266700</xdr:colOff>
      <xdr:row>23</xdr:row>
      <xdr:rowOff>45720</xdr:rowOff>
    </xdr:from>
    <xdr:to>
      <xdr:col>2</xdr:col>
      <xdr:colOff>411480</xdr:colOff>
      <xdr:row>23</xdr:row>
      <xdr:rowOff>167640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85362FA0-41E9-4353-9B5C-C0606804E55F}"/>
            </a:ext>
          </a:extLst>
        </xdr:cNvPr>
        <xdr:cNvSpPr/>
      </xdr:nvSpPr>
      <xdr:spPr>
        <a:xfrm>
          <a:off x="1485900" y="4069080"/>
          <a:ext cx="144780" cy="121920"/>
        </a:xfrm>
        <a:prstGeom prst="diamond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24</xdr:row>
      <xdr:rowOff>45720</xdr:rowOff>
    </xdr:from>
    <xdr:to>
      <xdr:col>2</xdr:col>
      <xdr:colOff>411480</xdr:colOff>
      <xdr:row>24</xdr:row>
      <xdr:rowOff>167640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5E86BE14-30D4-4A0E-B766-DC0CCE933B9D}"/>
            </a:ext>
          </a:extLst>
        </xdr:cNvPr>
        <xdr:cNvSpPr/>
      </xdr:nvSpPr>
      <xdr:spPr>
        <a:xfrm>
          <a:off x="1485900" y="4069080"/>
          <a:ext cx="144780" cy="121920"/>
        </a:xfrm>
        <a:prstGeom prst="diamond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25</xdr:row>
      <xdr:rowOff>45720</xdr:rowOff>
    </xdr:from>
    <xdr:to>
      <xdr:col>2</xdr:col>
      <xdr:colOff>411480</xdr:colOff>
      <xdr:row>25</xdr:row>
      <xdr:rowOff>167640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E2C10A2A-C916-41C1-8C4D-8F6F10F81BFF}"/>
            </a:ext>
          </a:extLst>
        </xdr:cNvPr>
        <xdr:cNvSpPr/>
      </xdr:nvSpPr>
      <xdr:spPr>
        <a:xfrm>
          <a:off x="1485900" y="4069080"/>
          <a:ext cx="14478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266700</xdr:colOff>
      <xdr:row>26</xdr:row>
      <xdr:rowOff>45720</xdr:rowOff>
    </xdr:from>
    <xdr:to>
      <xdr:col>2</xdr:col>
      <xdr:colOff>411480</xdr:colOff>
      <xdr:row>26</xdr:row>
      <xdr:rowOff>167640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EF099943-A512-433B-BF15-A09777E0CA6E}"/>
            </a:ext>
          </a:extLst>
        </xdr:cNvPr>
        <xdr:cNvSpPr/>
      </xdr:nvSpPr>
      <xdr:spPr>
        <a:xfrm>
          <a:off x="1485900" y="4069080"/>
          <a:ext cx="144780" cy="121920"/>
        </a:xfrm>
        <a:prstGeom prst="diamond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3</xdr:row>
      <xdr:rowOff>45720</xdr:rowOff>
    </xdr:from>
    <xdr:to>
      <xdr:col>12</xdr:col>
      <xdr:colOff>411480</xdr:colOff>
      <xdr:row>3</xdr:row>
      <xdr:rowOff>167640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6590FC63-F96E-4FEF-9483-C18C57B14F39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4</xdr:row>
      <xdr:rowOff>45720</xdr:rowOff>
    </xdr:from>
    <xdr:to>
      <xdr:col>12</xdr:col>
      <xdr:colOff>411480</xdr:colOff>
      <xdr:row>4</xdr:row>
      <xdr:rowOff>167640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F7BDF3F6-388A-4861-8A21-AF5DC696E836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5</xdr:row>
      <xdr:rowOff>45720</xdr:rowOff>
    </xdr:from>
    <xdr:to>
      <xdr:col>12</xdr:col>
      <xdr:colOff>411480</xdr:colOff>
      <xdr:row>5</xdr:row>
      <xdr:rowOff>167640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B4C818A6-6C71-4C0E-A9A5-8F756F8CD878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6</xdr:row>
      <xdr:rowOff>45720</xdr:rowOff>
    </xdr:from>
    <xdr:to>
      <xdr:col>12</xdr:col>
      <xdr:colOff>411480</xdr:colOff>
      <xdr:row>6</xdr:row>
      <xdr:rowOff>167640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CC305064-BFE6-44C0-B1DA-2B9098548710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7</xdr:row>
      <xdr:rowOff>45720</xdr:rowOff>
    </xdr:from>
    <xdr:to>
      <xdr:col>12</xdr:col>
      <xdr:colOff>411480</xdr:colOff>
      <xdr:row>7</xdr:row>
      <xdr:rowOff>167640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43F73C16-A2A5-4A19-92CE-34E23B364085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3</xdr:row>
      <xdr:rowOff>45720</xdr:rowOff>
    </xdr:from>
    <xdr:to>
      <xdr:col>12</xdr:col>
      <xdr:colOff>426720</xdr:colOff>
      <xdr:row>4</xdr:row>
      <xdr:rowOff>0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ED92EBCF-4BD0-4C66-90D2-B4127B4E6CBF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4</xdr:row>
      <xdr:rowOff>45720</xdr:rowOff>
    </xdr:from>
    <xdr:to>
      <xdr:col>12</xdr:col>
      <xdr:colOff>426720</xdr:colOff>
      <xdr:row>5</xdr:row>
      <xdr:rowOff>0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C9BBE6CD-D495-45D0-B8DB-D13D4FF57302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5</xdr:row>
      <xdr:rowOff>45720</xdr:rowOff>
    </xdr:from>
    <xdr:to>
      <xdr:col>12</xdr:col>
      <xdr:colOff>426720</xdr:colOff>
      <xdr:row>6</xdr:row>
      <xdr:rowOff>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71222C4C-4E6D-414D-9640-CAADC32FB86B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6</xdr:row>
      <xdr:rowOff>45720</xdr:rowOff>
    </xdr:from>
    <xdr:to>
      <xdr:col>12</xdr:col>
      <xdr:colOff>426720</xdr:colOff>
      <xdr:row>7</xdr:row>
      <xdr:rowOff>0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55CEE5AD-77D4-4A57-9B7A-1BB4E7E53917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7</xdr:row>
      <xdr:rowOff>45720</xdr:rowOff>
    </xdr:from>
    <xdr:to>
      <xdr:col>12</xdr:col>
      <xdr:colOff>426720</xdr:colOff>
      <xdr:row>8</xdr:row>
      <xdr:rowOff>0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8A66CD3A-AAF9-4FC2-A1F1-ACA300279047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3</xdr:row>
      <xdr:rowOff>45720</xdr:rowOff>
    </xdr:from>
    <xdr:to>
      <xdr:col>12</xdr:col>
      <xdr:colOff>426720</xdr:colOff>
      <xdr:row>4</xdr:row>
      <xdr:rowOff>0</xdr:rowOff>
    </xdr:to>
    <xdr:sp macro="" textlink="">
      <xdr:nvSpPr>
        <xdr:cNvPr id="23" name="Diamond 22">
          <a:extLst>
            <a:ext uri="{FF2B5EF4-FFF2-40B4-BE49-F238E27FC236}">
              <a16:creationId xmlns:a16="http://schemas.microsoft.com/office/drawing/2014/main" id="{D30A78E8-8AFC-4E6B-AF04-6A7D1F9877F6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281940</xdr:colOff>
      <xdr:row>4</xdr:row>
      <xdr:rowOff>45720</xdr:rowOff>
    </xdr:from>
    <xdr:to>
      <xdr:col>12</xdr:col>
      <xdr:colOff>426720</xdr:colOff>
      <xdr:row>5</xdr:row>
      <xdr:rowOff>0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3292F6D2-AF35-4EA5-8405-6CEE9D492DC4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5</xdr:row>
      <xdr:rowOff>45720</xdr:rowOff>
    </xdr:from>
    <xdr:to>
      <xdr:col>12</xdr:col>
      <xdr:colOff>426720</xdr:colOff>
      <xdr:row>6</xdr:row>
      <xdr:rowOff>0</xdr:rowOff>
    </xdr:to>
    <xdr:sp macro="" textlink="">
      <xdr:nvSpPr>
        <xdr:cNvPr id="25" name="Diamond 24">
          <a:extLst>
            <a:ext uri="{FF2B5EF4-FFF2-40B4-BE49-F238E27FC236}">
              <a16:creationId xmlns:a16="http://schemas.microsoft.com/office/drawing/2014/main" id="{AC2F2186-65FF-43E0-BA71-2A63E0EE79F7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6</xdr:row>
      <xdr:rowOff>45720</xdr:rowOff>
    </xdr:from>
    <xdr:to>
      <xdr:col>12</xdr:col>
      <xdr:colOff>426720</xdr:colOff>
      <xdr:row>7</xdr:row>
      <xdr:rowOff>0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8B602889-D383-48DE-9A46-7596F43A66EA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281940</xdr:colOff>
      <xdr:row>7</xdr:row>
      <xdr:rowOff>45720</xdr:rowOff>
    </xdr:from>
    <xdr:to>
      <xdr:col>12</xdr:col>
      <xdr:colOff>426720</xdr:colOff>
      <xdr:row>8</xdr:row>
      <xdr:rowOff>0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65FE6D3D-2452-497D-917F-3E0BBD68AF94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8</xdr:row>
      <xdr:rowOff>45720</xdr:rowOff>
    </xdr:from>
    <xdr:to>
      <xdr:col>12</xdr:col>
      <xdr:colOff>426720</xdr:colOff>
      <xdr:row>9</xdr:row>
      <xdr:rowOff>0</xdr:rowOff>
    </xdr:to>
    <xdr:sp macro="" textlink="">
      <xdr:nvSpPr>
        <xdr:cNvPr id="28" name="Diamond 27">
          <a:extLst>
            <a:ext uri="{FF2B5EF4-FFF2-40B4-BE49-F238E27FC236}">
              <a16:creationId xmlns:a16="http://schemas.microsoft.com/office/drawing/2014/main" id="{9BB64B6F-A2F4-41D6-A040-B15AFC12FAB1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1</xdr:row>
      <xdr:rowOff>45720</xdr:rowOff>
    </xdr:from>
    <xdr:to>
      <xdr:col>12</xdr:col>
      <xdr:colOff>411480</xdr:colOff>
      <xdr:row>1</xdr:row>
      <xdr:rowOff>167640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9974C40F-9331-411C-9F96-9AE3BAF655A6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1</xdr:row>
      <xdr:rowOff>45720</xdr:rowOff>
    </xdr:from>
    <xdr:to>
      <xdr:col>12</xdr:col>
      <xdr:colOff>426720</xdr:colOff>
      <xdr:row>2</xdr:row>
      <xdr:rowOff>0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95349F93-3293-46CC-8E95-45E63A8C7C1C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1</xdr:row>
      <xdr:rowOff>45720</xdr:rowOff>
    </xdr:from>
    <xdr:to>
      <xdr:col>12</xdr:col>
      <xdr:colOff>426720</xdr:colOff>
      <xdr:row>2</xdr:row>
      <xdr:rowOff>0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8E8E87E6-029A-4EFE-BBB5-38DEE7211E72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281940</xdr:colOff>
      <xdr:row>2</xdr:row>
      <xdr:rowOff>45720</xdr:rowOff>
    </xdr:from>
    <xdr:to>
      <xdr:col>12</xdr:col>
      <xdr:colOff>411480</xdr:colOff>
      <xdr:row>2</xdr:row>
      <xdr:rowOff>167640</xdr:rowOff>
    </xdr:to>
    <xdr:sp macro="" textlink="">
      <xdr:nvSpPr>
        <xdr:cNvPr id="32" name="Diamond 31">
          <a:extLst>
            <a:ext uri="{FF2B5EF4-FFF2-40B4-BE49-F238E27FC236}">
              <a16:creationId xmlns:a16="http://schemas.microsoft.com/office/drawing/2014/main" id="{EA79EE7B-014F-401F-BA08-706CFCDA424C}"/>
            </a:ext>
          </a:extLst>
        </xdr:cNvPr>
        <xdr:cNvSpPr/>
      </xdr:nvSpPr>
      <xdr:spPr>
        <a:xfrm>
          <a:off x="7597140" y="594360"/>
          <a:ext cx="129540" cy="1219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2</xdr:row>
      <xdr:rowOff>45720</xdr:rowOff>
    </xdr:from>
    <xdr:to>
      <xdr:col>12</xdr:col>
      <xdr:colOff>426720</xdr:colOff>
      <xdr:row>3</xdr:row>
      <xdr:rowOff>0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DF4861D1-AD45-413E-B882-7C127E106F57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281940</xdr:colOff>
      <xdr:row>2</xdr:row>
      <xdr:rowOff>45720</xdr:rowOff>
    </xdr:from>
    <xdr:to>
      <xdr:col>12</xdr:col>
      <xdr:colOff>426720</xdr:colOff>
      <xdr:row>3</xdr:row>
      <xdr:rowOff>0</xdr:rowOff>
    </xdr:to>
    <xdr:sp macro="" textlink="">
      <xdr:nvSpPr>
        <xdr:cNvPr id="34" name="Diamond 33">
          <a:extLst>
            <a:ext uri="{FF2B5EF4-FFF2-40B4-BE49-F238E27FC236}">
              <a16:creationId xmlns:a16="http://schemas.microsoft.com/office/drawing/2014/main" id="{0024FD2A-08DF-42B5-91BE-3CB28ED05F3C}"/>
            </a:ext>
          </a:extLst>
        </xdr:cNvPr>
        <xdr:cNvSpPr/>
      </xdr:nvSpPr>
      <xdr:spPr>
        <a:xfrm>
          <a:off x="7597140" y="594360"/>
          <a:ext cx="144780" cy="137160"/>
        </a:xfrm>
        <a:prstGeom prst="diamond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DB6DC6-E0CF-4E4B-94DD-A44CCA7FFD02}" autoFormatId="16" applyNumberFormats="0" applyBorderFormats="0" applyFontFormats="0" applyPatternFormats="0" applyAlignmentFormats="0" applyWidthHeightFormats="0">
  <queryTableRefresh nextId="11">
    <queryTableFields count="10">
      <queryTableField id="1" name="CATEGORY" tableColumnId="1"/>
      <queryTableField id="2" name="BUDGET AMOUNT" tableColumnId="2"/>
      <queryTableField id="3" name="ACTUAL AMOUNT" tableColumnId="3"/>
      <queryTableField id="4" name="DIFFERENCE" tableColumnId="4"/>
      <queryTableField id="5" name="CATEGORY 2" tableColumnId="5"/>
      <queryTableField id="6" name="BUDGET AMOUNT 3" tableColumnId="6"/>
      <queryTableField id="7" name="ACTUAL AMOUNT 4" tableColumnId="7"/>
      <queryTableField id="8" name="DIFFERENCE 5" tableColumnId="8"/>
      <queryTableField id="9" name="CATEGORY 6" tableColumnId="9"/>
      <queryTableField id="10" name="BUDGET AMOUNT 7" tableColumnId="10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01D85-0E0C-4066-8AF1-036644466C58}" name="Table1" displayName="Table1" ref="F5:J25" totalsRowShown="0">
  <autoFilter ref="F5:J25" xr:uid="{F0301D85-0E0C-4066-8AF1-036644466C58}"/>
  <tableColumns count="5">
    <tableColumn id="1" xr3:uid="{D2460070-5FF7-4939-8743-18724B7845AD}" name="DATE"/>
    <tableColumn id="2" xr3:uid="{F5985B2A-ECAD-44AF-9AEC-14F4B7A0A06C}" name="CATEGORY"/>
    <tableColumn id="3" xr3:uid="{96CBD929-385C-4445-BE0B-E56870595512}" name="EXPENSES DETAILS" dataDxfId="2"/>
    <tableColumn id="4" xr3:uid="{F2FB0B74-7139-4817-B26B-6270400AD798}" name="AMOUNT" dataDxfId="1"/>
    <tableColumn id="5" xr3:uid="{3915265A-EB83-46D8-8DC2-DFF5B3CC77BF}" name="PAYMENT METHOD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FB5ADE-0664-4B29-9A95-5102BAD171DD}" name="Table2" displayName="Table2" ref="O6:O8" totalsRowShown="0">
  <autoFilter ref="O6:O8" xr:uid="{06FB5ADE-0664-4B29-9A95-5102BAD171DD}"/>
  <tableColumns count="1">
    <tableColumn id="1" xr3:uid="{CE081F23-AF4A-4DD1-9569-0D1D8793FAAE}" name="TO CALCULATE TOTAL SPENDING ON &quot;FOOD&quot;: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54D5CC-397D-45E3-B69D-CD8A551DD219}" name="Table3" displayName="Table3" ref="O10:O11" insertRow="1" totalsRowShown="0">
  <autoFilter ref="O10:O11" xr:uid="{4254D5CC-397D-45E3-B69D-CD8A551DD219}"/>
  <tableColumns count="1">
    <tableColumn id="1" xr3:uid="{87793899-4404-4415-9AC2-6A5553A7B405}" name="TO CALCULATE TOTAL SPENDING ON &quot;TRAVEL&quot;: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966BD5-4295-40A6-9B87-59FFC0B94511}" name="Table4" displayName="Table4" ref="O14:O15" insertRow="1" totalsRowShown="0">
  <autoFilter ref="O14:O15" xr:uid="{77966BD5-4295-40A6-9B87-59FFC0B94511}"/>
  <tableColumns count="1">
    <tableColumn id="1" xr3:uid="{1D738410-62CE-4963-BCBD-6EC96B3F0FF8}" name="TO CALCULATE TOTAL SPENDING ON &quot;SHOPPING&quot;: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9D5D6D-8DC6-4E40-B319-875EF0301C01}" name="Table5" displayName="Table5" ref="O18:O19" insertRow="1" totalsRowShown="0">
  <autoFilter ref="O18:O19" xr:uid="{F19D5D6D-8DC6-4E40-B319-875EF0301C01}"/>
  <tableColumns count="1">
    <tableColumn id="1" xr3:uid="{F122D818-0BE6-4794-A316-5A9119473FF4}" name="TO CALCULATE TOTAL SPENDING ON &quot;FEES&quot;: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B34062-9FB8-4887-9A4F-24597C8D48DE}" name="Table6" displayName="Table6" ref="O22:O23" insertRow="1" totalsRowShown="0">
  <autoFilter ref="O22:O23" xr:uid="{68B34062-9FB8-4887-9A4F-24597C8D48DE}"/>
  <tableColumns count="1">
    <tableColumn id="1" xr3:uid="{FD38608A-2E4E-4CFF-85E2-315E6D500518}" name="TO CALCULATE TOTAL SPENDING ON &quot;OTHERS&quot;: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BFD6BC-C3D0-42B8-94F5-523F6CF4D30D}" name="Table7_1" displayName="Table7_1" ref="A1:J6" tableType="queryTable" totalsRowShown="0">
  <autoFilter ref="A1:J6" xr:uid="{C8BFD6BC-C3D0-42B8-94F5-523F6CF4D30D}"/>
  <tableColumns count="10">
    <tableColumn id="1" xr3:uid="{C4F2C766-7D1C-4ECE-8AAE-6C604DA42AF4}" uniqueName="1" name="CATEGORY" queryTableFieldId="1"/>
    <tableColumn id="2" xr3:uid="{6E862089-E9C2-4C51-9038-974AB73CE1AE}" uniqueName="2" name="BUDGET AMOUNT" queryTableFieldId="2"/>
    <tableColumn id="3" xr3:uid="{F91EE35F-F2D1-4E9D-B2EE-CED5E77ABD78}" uniqueName="3" name="ACTUAL AMOUNT" queryTableFieldId="3"/>
    <tableColumn id="4" xr3:uid="{FCDD4F96-BC80-42EA-BA59-C618C61187A0}" uniqueName="4" name="DIFFERENCE" queryTableFieldId="4"/>
    <tableColumn id="5" xr3:uid="{14B24526-05B4-4F27-91B4-42C51F061DA0}" uniqueName="5" name="CATEGORY 2" queryTableFieldId="5"/>
    <tableColumn id="6" xr3:uid="{73098A97-D66F-481C-A4CF-1AC81F89B83A}" uniqueName="6" name="BUDGET AMOUNT 3" queryTableFieldId="6"/>
    <tableColumn id="7" xr3:uid="{7765BDB7-819A-4537-8DDC-018880CA4DED}" uniqueName="7" name="ACTUAL AMOUNT 4" queryTableFieldId="7"/>
    <tableColumn id="8" xr3:uid="{A8F1E519-EC20-437A-84ED-9A33148712A4}" uniqueName="8" name="DIFFERENCE 5" queryTableFieldId="8"/>
    <tableColumn id="9" xr3:uid="{8C493D16-1815-4D43-AC5E-72E34FF1311B}" uniqueName="9" name="CATEGORY 6" queryTableFieldId="9"/>
    <tableColumn id="10" xr3:uid="{C8A3F3F8-AE2E-490E-A748-F6F60211AFB8}" uniqueName="10" name="BUDGET AMOUNT 7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3B78-24A5-427E-8F61-7110C74F6B68}">
  <dimension ref="F3:O25"/>
  <sheetViews>
    <sheetView tabSelected="1" topLeftCell="D5" workbookViewId="0">
      <selection activeCell="L18" sqref="L18"/>
    </sheetView>
  </sheetViews>
  <sheetFormatPr defaultRowHeight="14.4" x14ac:dyDescent="0.3"/>
  <cols>
    <col min="6" max="6" width="10.77734375" customWidth="1"/>
    <col min="7" max="7" width="14.6640625" customWidth="1"/>
    <col min="8" max="8" width="13.33203125" customWidth="1"/>
    <col min="9" max="9" width="18.109375" customWidth="1"/>
    <col min="10" max="10" width="21.33203125" customWidth="1"/>
    <col min="14" max="14" width="17.88671875" customWidth="1"/>
    <col min="15" max="15" width="44.33203125" customWidth="1"/>
  </cols>
  <sheetData>
    <row r="3" spans="6:15" ht="25.8" x14ac:dyDescent="0.5">
      <c r="H3" s="1" t="s">
        <v>0</v>
      </c>
    </row>
    <row r="5" spans="6:15" ht="18" x14ac:dyDescent="0.35">
      <c r="F5" s="2" t="s">
        <v>1</v>
      </c>
      <c r="G5" s="2" t="s">
        <v>2</v>
      </c>
      <c r="H5" t="s">
        <v>3</v>
      </c>
      <c r="I5" s="2" t="s">
        <v>4</v>
      </c>
      <c r="J5" s="2" t="s">
        <v>5</v>
      </c>
    </row>
    <row r="6" spans="6:15" x14ac:dyDescent="0.3">
      <c r="F6" s="3">
        <v>45658</v>
      </c>
      <c r="G6" s="4" t="s">
        <v>6</v>
      </c>
      <c r="H6" s="4" t="s">
        <v>7</v>
      </c>
      <c r="I6" s="4">
        <v>250</v>
      </c>
      <c r="J6" s="4" t="s">
        <v>8</v>
      </c>
      <c r="O6" t="s">
        <v>33</v>
      </c>
    </row>
    <row r="7" spans="6:15" x14ac:dyDescent="0.3">
      <c r="F7" s="3">
        <v>45659</v>
      </c>
      <c r="G7" s="5" t="s">
        <v>9</v>
      </c>
      <c r="H7" s="4" t="s">
        <v>10</v>
      </c>
      <c r="I7" s="4">
        <v>1200</v>
      </c>
      <c r="J7" s="4" t="s">
        <v>11</v>
      </c>
      <c r="O7" t="s">
        <v>34</v>
      </c>
    </row>
    <row r="8" spans="6:15" ht="15.6" x14ac:dyDescent="0.3">
      <c r="F8" s="6">
        <v>45660</v>
      </c>
      <c r="G8" s="4" t="s">
        <v>12</v>
      </c>
      <c r="H8" s="4" t="s">
        <v>13</v>
      </c>
      <c r="I8" s="4">
        <v>3200</v>
      </c>
      <c r="J8" s="4" t="s">
        <v>14</v>
      </c>
      <c r="O8" s="7">
        <v>1280</v>
      </c>
    </row>
    <row r="9" spans="6:15" x14ac:dyDescent="0.3">
      <c r="F9" s="6">
        <v>45661</v>
      </c>
      <c r="G9" s="4" t="s">
        <v>15</v>
      </c>
      <c r="H9" s="4" t="s">
        <v>16</v>
      </c>
      <c r="I9" s="4">
        <v>1500</v>
      </c>
      <c r="J9" s="4" t="s">
        <v>11</v>
      </c>
    </row>
    <row r="10" spans="6:15" x14ac:dyDescent="0.3">
      <c r="F10" s="6">
        <v>45662</v>
      </c>
      <c r="G10" s="4" t="s">
        <v>6</v>
      </c>
      <c r="H10" s="4" t="s">
        <v>17</v>
      </c>
      <c r="I10" s="4">
        <v>400</v>
      </c>
      <c r="J10" s="4" t="s">
        <v>8</v>
      </c>
      <c r="O10" t="s">
        <v>35</v>
      </c>
    </row>
    <row r="11" spans="6:15" x14ac:dyDescent="0.3">
      <c r="F11" s="6">
        <v>45663</v>
      </c>
      <c r="G11" s="4" t="s">
        <v>9</v>
      </c>
      <c r="H11" s="4" t="s">
        <v>18</v>
      </c>
      <c r="I11" s="4">
        <v>2200</v>
      </c>
      <c r="J11" s="4" t="s">
        <v>14</v>
      </c>
    </row>
    <row r="12" spans="6:15" ht="15.6" x14ac:dyDescent="0.3">
      <c r="F12" s="6">
        <v>45664</v>
      </c>
      <c r="G12" s="4" t="s">
        <v>12</v>
      </c>
      <c r="H12" s="4" t="s">
        <v>19</v>
      </c>
      <c r="I12" s="4">
        <v>2800</v>
      </c>
      <c r="J12" s="4" t="s">
        <v>11</v>
      </c>
      <c r="O12" s="7">
        <v>10000</v>
      </c>
    </row>
    <row r="13" spans="6:15" x14ac:dyDescent="0.3">
      <c r="F13" s="6">
        <v>45665</v>
      </c>
      <c r="G13" s="4" t="s">
        <v>6</v>
      </c>
      <c r="H13" s="4" t="s">
        <v>20</v>
      </c>
      <c r="I13" s="4">
        <v>150</v>
      </c>
      <c r="J13" s="4" t="s">
        <v>8</v>
      </c>
    </row>
    <row r="14" spans="6:15" x14ac:dyDescent="0.3">
      <c r="F14" s="6">
        <v>45666</v>
      </c>
      <c r="G14" s="4" t="s">
        <v>21</v>
      </c>
      <c r="H14" s="4" t="s">
        <v>22</v>
      </c>
      <c r="I14" s="4">
        <v>299</v>
      </c>
      <c r="J14" s="4" t="s">
        <v>11</v>
      </c>
      <c r="O14" t="s">
        <v>36</v>
      </c>
    </row>
    <row r="15" spans="6:15" x14ac:dyDescent="0.3">
      <c r="F15" s="6">
        <v>45667</v>
      </c>
      <c r="G15" s="4" t="s">
        <v>9</v>
      </c>
      <c r="H15" s="4" t="s">
        <v>23</v>
      </c>
      <c r="I15" s="4">
        <v>1800</v>
      </c>
      <c r="J15" s="4" t="s">
        <v>14</v>
      </c>
    </row>
    <row r="16" spans="6:15" ht="15.6" x14ac:dyDescent="0.3">
      <c r="F16" s="6">
        <v>45668</v>
      </c>
      <c r="G16" s="4" t="s">
        <v>15</v>
      </c>
      <c r="H16" s="4" t="s">
        <v>24</v>
      </c>
      <c r="I16" s="4">
        <v>3500</v>
      </c>
      <c r="J16" s="4" t="s">
        <v>11</v>
      </c>
      <c r="O16" s="7">
        <v>5800</v>
      </c>
    </row>
    <row r="17" spans="6:15" x14ac:dyDescent="0.3">
      <c r="F17" s="6">
        <v>45669</v>
      </c>
      <c r="G17" s="4" t="s">
        <v>12</v>
      </c>
      <c r="H17" s="4" t="s">
        <v>25</v>
      </c>
      <c r="I17" s="4">
        <v>2100</v>
      </c>
      <c r="J17" s="4" t="s">
        <v>14</v>
      </c>
    </row>
    <row r="18" spans="6:15" x14ac:dyDescent="0.3">
      <c r="F18" s="6">
        <v>45670</v>
      </c>
      <c r="G18" s="4" t="s">
        <v>6</v>
      </c>
      <c r="H18" s="4" t="s">
        <v>26</v>
      </c>
      <c r="I18" s="4">
        <v>180</v>
      </c>
      <c r="J18" s="4" t="s">
        <v>8</v>
      </c>
      <c r="O18" t="s">
        <v>37</v>
      </c>
    </row>
    <row r="19" spans="6:15" x14ac:dyDescent="0.3">
      <c r="F19" s="6">
        <v>45671</v>
      </c>
      <c r="G19" s="4" t="s">
        <v>21</v>
      </c>
      <c r="H19" s="4" t="s">
        <v>27</v>
      </c>
      <c r="I19" s="4">
        <v>999</v>
      </c>
      <c r="J19" s="4" t="s">
        <v>11</v>
      </c>
    </row>
    <row r="20" spans="6:15" ht="15.6" x14ac:dyDescent="0.3">
      <c r="F20" s="6">
        <v>45672</v>
      </c>
      <c r="G20" s="4" t="s">
        <v>9</v>
      </c>
      <c r="H20" s="4" t="s">
        <v>28</v>
      </c>
      <c r="I20" s="4">
        <v>2500</v>
      </c>
      <c r="J20" s="4" t="s">
        <v>8</v>
      </c>
      <c r="O20" s="7">
        <v>9300</v>
      </c>
    </row>
    <row r="21" spans="6:15" x14ac:dyDescent="0.3">
      <c r="F21" s="6">
        <v>45673</v>
      </c>
      <c r="G21" s="4" t="s">
        <v>6</v>
      </c>
      <c r="H21" s="4" t="s">
        <v>7</v>
      </c>
      <c r="I21" s="4">
        <v>300</v>
      </c>
      <c r="J21" s="4" t="s">
        <v>11</v>
      </c>
    </row>
    <row r="22" spans="6:15" x14ac:dyDescent="0.3">
      <c r="F22" s="6">
        <v>45674</v>
      </c>
      <c r="G22" s="4" t="s">
        <v>12</v>
      </c>
      <c r="H22" s="4" t="s">
        <v>29</v>
      </c>
      <c r="I22" s="4">
        <v>1200</v>
      </c>
      <c r="J22" s="4" t="s">
        <v>14</v>
      </c>
      <c r="O22" t="s">
        <v>38</v>
      </c>
    </row>
    <row r="23" spans="6:15" x14ac:dyDescent="0.3">
      <c r="F23" s="6">
        <v>45675</v>
      </c>
      <c r="G23" s="4" t="s">
        <v>15</v>
      </c>
      <c r="H23" s="4" t="s">
        <v>30</v>
      </c>
      <c r="I23" s="4">
        <v>800</v>
      </c>
      <c r="J23" s="4" t="s">
        <v>8</v>
      </c>
    </row>
    <row r="24" spans="6:15" ht="15.6" x14ac:dyDescent="0.3">
      <c r="F24" s="6">
        <v>45676</v>
      </c>
      <c r="G24" s="4" t="s">
        <v>21</v>
      </c>
      <c r="H24" s="4" t="s">
        <v>31</v>
      </c>
      <c r="I24" s="4">
        <v>600</v>
      </c>
      <c r="J24" s="4" t="s">
        <v>8</v>
      </c>
      <c r="O24" s="7">
        <v>1898</v>
      </c>
    </row>
    <row r="25" spans="6:15" x14ac:dyDescent="0.3">
      <c r="F25" s="6">
        <v>45677</v>
      </c>
      <c r="G25" s="4" t="s">
        <v>9</v>
      </c>
      <c r="H25" s="4" t="s">
        <v>32</v>
      </c>
      <c r="I25" s="4">
        <v>2300</v>
      </c>
      <c r="J25" s="4" t="s">
        <v>11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32B2-0571-4610-A229-B764C7326A6E}">
  <dimension ref="A1:J6"/>
  <sheetViews>
    <sheetView topLeftCell="B1" workbookViewId="0">
      <selection activeCell="I16" sqref="I16"/>
    </sheetView>
  </sheetViews>
  <sheetFormatPr defaultRowHeight="14.4" x14ac:dyDescent="0.3"/>
  <cols>
    <col min="1" max="1" width="17.109375" customWidth="1"/>
    <col min="2" max="3" width="19.33203125" customWidth="1"/>
    <col min="4" max="4" width="15.77734375" customWidth="1"/>
    <col min="5" max="5" width="15.33203125" customWidth="1"/>
    <col min="6" max="6" width="18.6640625" customWidth="1"/>
    <col min="7" max="7" width="19.77734375" customWidth="1"/>
    <col min="8" max="8" width="15" customWidth="1"/>
    <col min="9" max="9" width="17.109375" customWidth="1"/>
    <col min="10" max="10" width="21.33203125" customWidth="1"/>
  </cols>
  <sheetData>
    <row r="1" spans="1:10" x14ac:dyDescent="0.3">
      <c r="A1" t="s">
        <v>2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3">
      <c r="A2" t="s">
        <v>6</v>
      </c>
      <c r="B2">
        <v>5000</v>
      </c>
      <c r="C2">
        <v>1280</v>
      </c>
      <c r="D2">
        <v>3720</v>
      </c>
      <c r="E2" t="s">
        <v>6</v>
      </c>
      <c r="F2">
        <v>2053.333333</v>
      </c>
      <c r="G2">
        <v>1413.333333</v>
      </c>
      <c r="H2">
        <v>773.33333333329995</v>
      </c>
      <c r="I2" t="s">
        <v>6</v>
      </c>
      <c r="J2">
        <v>133.33333332999999</v>
      </c>
    </row>
    <row r="3" spans="1:10" x14ac:dyDescent="0.3">
      <c r="A3" t="s">
        <v>9</v>
      </c>
      <c r="B3">
        <v>6000</v>
      </c>
      <c r="C3">
        <v>970</v>
      </c>
      <c r="D3">
        <v>-3700</v>
      </c>
      <c r="E3" t="s">
        <v>9</v>
      </c>
      <c r="F3">
        <v>-5700</v>
      </c>
      <c r="G3">
        <v>-10550</v>
      </c>
      <c r="H3">
        <v>-15400</v>
      </c>
      <c r="I3" t="s">
        <v>9</v>
      </c>
      <c r="J3">
        <v>-20250</v>
      </c>
    </row>
    <row r="4" spans="1:10" x14ac:dyDescent="0.3">
      <c r="A4" t="s">
        <v>15</v>
      </c>
      <c r="B4">
        <v>7000</v>
      </c>
      <c r="C4">
        <v>5800</v>
      </c>
      <c r="D4">
        <v>1200</v>
      </c>
      <c r="E4" t="s">
        <v>15</v>
      </c>
      <c r="F4">
        <v>-1133.333333</v>
      </c>
      <c r="G4">
        <v>-4033.333333</v>
      </c>
      <c r="H4">
        <v>-6933.3333329999996</v>
      </c>
      <c r="I4" t="s">
        <v>15</v>
      </c>
      <c r="J4">
        <v>-9833.3333330000005</v>
      </c>
    </row>
    <row r="5" spans="1:10" x14ac:dyDescent="0.3">
      <c r="A5" t="s">
        <v>12</v>
      </c>
      <c r="B5">
        <v>8000</v>
      </c>
      <c r="C5">
        <v>9300</v>
      </c>
      <c r="D5">
        <v>-1300</v>
      </c>
      <c r="E5" t="s">
        <v>12</v>
      </c>
      <c r="F5">
        <v>-3966.666667</v>
      </c>
      <c r="G5">
        <v>-8616.6666669999995</v>
      </c>
      <c r="H5">
        <v>-13266.666670000001</v>
      </c>
      <c r="I5" t="s">
        <v>12</v>
      </c>
      <c r="J5">
        <v>-17916.666669999999</v>
      </c>
    </row>
    <row r="6" spans="1:10" x14ac:dyDescent="0.3">
      <c r="A6" t="s">
        <v>21</v>
      </c>
      <c r="B6">
        <v>3000</v>
      </c>
      <c r="C6">
        <v>1898</v>
      </c>
      <c r="D6">
        <v>1102</v>
      </c>
      <c r="E6" t="s">
        <v>21</v>
      </c>
      <c r="F6">
        <v>102</v>
      </c>
      <c r="G6">
        <v>-847</v>
      </c>
      <c r="H6">
        <v>-1796</v>
      </c>
      <c r="I6" t="s">
        <v>21</v>
      </c>
      <c r="J6">
        <v>-2745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2199-5C21-4EE2-A926-1A4DA25CFDE1}">
  <dimension ref="D2:O27"/>
  <sheetViews>
    <sheetView workbookViewId="0">
      <selection activeCell="K8" sqref="K8"/>
    </sheetView>
  </sheetViews>
  <sheetFormatPr defaultRowHeight="14.4" x14ac:dyDescent="0.3"/>
  <cols>
    <col min="13" max="13" width="10.33203125" customWidth="1"/>
    <col min="14" max="14" width="10.33203125" bestFit="1" customWidth="1"/>
  </cols>
  <sheetData>
    <row r="2" spans="14:15" x14ac:dyDescent="0.3">
      <c r="N2" t="s">
        <v>61</v>
      </c>
    </row>
    <row r="3" spans="14:15" x14ac:dyDescent="0.3">
      <c r="N3" s="6">
        <v>45658</v>
      </c>
      <c r="O3" t="s">
        <v>54</v>
      </c>
    </row>
    <row r="4" spans="14:15" x14ac:dyDescent="0.3">
      <c r="N4" s="6">
        <v>45659</v>
      </c>
      <c r="O4" t="s">
        <v>55</v>
      </c>
    </row>
    <row r="5" spans="14:15" x14ac:dyDescent="0.3">
      <c r="N5" s="6">
        <v>45660</v>
      </c>
      <c r="O5" t="s">
        <v>56</v>
      </c>
    </row>
    <row r="6" spans="14:15" x14ac:dyDescent="0.3">
      <c r="N6" s="6">
        <v>45661</v>
      </c>
      <c r="O6" t="s">
        <v>57</v>
      </c>
    </row>
    <row r="7" spans="14:15" x14ac:dyDescent="0.3">
      <c r="N7" s="6">
        <v>45662</v>
      </c>
      <c r="O7" t="s">
        <v>58</v>
      </c>
    </row>
    <row r="8" spans="14:15" x14ac:dyDescent="0.3">
      <c r="N8" s="6">
        <v>45663</v>
      </c>
      <c r="O8" t="s">
        <v>59</v>
      </c>
    </row>
    <row r="9" spans="14:15" x14ac:dyDescent="0.3">
      <c r="N9" s="6">
        <v>45664</v>
      </c>
      <c r="O9" t="s">
        <v>60</v>
      </c>
    </row>
    <row r="23" spans="4:5" x14ac:dyDescent="0.3">
      <c r="D23" t="s">
        <v>48</v>
      </c>
    </row>
    <row r="24" spans="4:5" x14ac:dyDescent="0.3">
      <c r="D24" t="s">
        <v>49</v>
      </c>
    </row>
    <row r="25" spans="4:5" x14ac:dyDescent="0.3">
      <c r="D25" t="s">
        <v>50</v>
      </c>
    </row>
    <row r="26" spans="4:5" x14ac:dyDescent="0.3">
      <c r="D26" t="s">
        <v>51</v>
      </c>
    </row>
    <row r="27" spans="4:5" x14ac:dyDescent="0.3">
      <c r="D27" t="s">
        <v>52</v>
      </c>
      <c r="E27" t="s">
        <v>53</v>
      </c>
    </row>
  </sheetData>
  <phoneticPr fontId="4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B10D0-19E2-415C-91E5-14E9337264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Poddar</dc:creator>
  <cp:lastModifiedBy>Sargam Poddar</cp:lastModifiedBy>
  <dcterms:created xsi:type="dcterms:W3CDTF">2026-01-05T18:19:38Z</dcterms:created>
  <dcterms:modified xsi:type="dcterms:W3CDTF">2026-01-05T19:09:12Z</dcterms:modified>
</cp:coreProperties>
</file>